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acklog" sheetId="2" state="visible" r:id="rId4"/>
    <sheet name="Releases" sheetId="3" state="visible" r:id="rId5"/>
    <sheet name="Roadmap" sheetId="4" state="visible" r:id="rId6"/>
    <sheet name="Vision" sheetId="5" state="visible" r:id="rId7"/>
    <sheet name="Metric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<sst xmlns="http://schemas.openxmlformats.org/spreadsheetml/2006/main" count="236" uniqueCount="185">
  <si>
    <t xml:space="preserve">📊  INNERTABLE  |  Product Development Workspace</t>
  </si>
  <si>
    <t xml:space="preserve">Auto-calculated from Backlog &amp; Releases sheets  ·  Generated: April 10, 2026</t>
  </si>
  <si>
    <t xml:space="preserve">📈  KEY METRICS  —  Live calculated from Backlog</t>
  </si>
  <si>
    <t xml:space="preserve">Total Items</t>
  </si>
  <si>
    <t xml:space="preserve">Open Bugs</t>
  </si>
  <si>
    <t xml:space="preserve">Enhancements</t>
  </si>
  <si>
    <t xml:space="preserve">P0 Critical</t>
  </si>
  <si>
    <t xml:space="preserve">Staged</t>
  </si>
  <si>
    <t xml:space="preserve">Done</t>
  </si>
  <si>
    <t xml:space="preserve">🔴  PRIORITY BREAKDOWN</t>
  </si>
  <si>
    <t xml:space="preserve">Priority</t>
  </si>
  <si>
    <t xml:space="preserve">Open</t>
  </si>
  <si>
    <t xml:space="preserve">Total</t>
  </si>
  <si>
    <t xml:space="preserve">P0 — Critical</t>
  </si>
  <si>
    <t xml:space="preserve">P1 — High</t>
  </si>
  <si>
    <t xml:space="preserve">P2 — Medium</t>
  </si>
  <si>
    <t xml:space="preserve">P3 — Low</t>
  </si>
  <si>
    <t xml:space="preserve">🚀  RELEASE OVERVIEW</t>
  </si>
  <si>
    <t xml:space="preserve">Version</t>
  </si>
  <si>
    <t xml:space="preserve">Name</t>
  </si>
  <si>
    <t xml:space="preserve">Target Date</t>
  </si>
  <si>
    <t xml:space="preserve">Status</t>
  </si>
  <si>
    <t xml:space="preserve"># Items</t>
  </si>
  <si>
    <t xml:space="preserve"># Bugs</t>
  </si>
  <si>
    <t xml:space="preserve"># Enhancements</t>
  </si>
  <si>
    <t xml:space="preserve">Goals</t>
  </si>
  <si>
    <t xml:space="preserve">v0.1.0</t>
  </si>
  <si>
    <t xml:space="preserve">Internal Alpha</t>
  </si>
  <si>
    <t xml:space="preserve">2026-05-01</t>
  </si>
  <si>
    <t xml:space="preserve">Planning</t>
  </si>
  <si>
    <t xml:space="preserve">Core functionality</t>
  </si>
  <si>
    <t xml:space="preserve">v0.2.0</t>
  </si>
  <si>
    <t xml:space="preserve">Beta</t>
  </si>
  <si>
    <t xml:space="preserve">2026-07-15</t>
  </si>
  <si>
    <t xml:space="preserve">Polish &amp; mobile fixes</t>
  </si>
  <si>
    <t xml:space="preserve">v1.0.0</t>
  </si>
  <si>
    <t xml:space="preserve">Public Launch</t>
  </si>
  <si>
    <t xml:space="preserve">2026-10-15</t>
  </si>
  <si>
    <t xml:space="preserve">Full launch</t>
  </si>
  <si>
    <t xml:space="preserve">📋  PRODUCT BACKLOG  —  Bugs &amp; Enhancements Tracker</t>
  </si>
  <si>
    <t xml:space="preserve">Use the HTML workspace (dev-workspace.html) for drag-and-drop. Sync key data here for reporting &amp; export.</t>
  </si>
  <si>
    <t xml:space="preserve">P0 = Critical</t>
  </si>
  <si>
    <t xml:space="preserve">P1 = High</t>
  </si>
  <si>
    <t xml:space="preserve">P2 = Medium</t>
  </si>
  <si>
    <t xml:space="preserve">P3 = Low</t>
  </si>
  <si>
    <t xml:space="preserve">Bug 🐛</t>
  </si>
  <si>
    <t xml:space="preserve">Enhancement ✨</t>
  </si>
  <si>
    <t xml:space="preserve">Item ID</t>
  </si>
  <si>
    <t xml:space="preserve">Title</t>
  </si>
  <si>
    <t xml:space="preserve">Type</t>
  </si>
  <si>
    <t xml:space="preserve">Description</t>
  </si>
  <si>
    <t xml:space="preserve">Area</t>
  </si>
  <si>
    <t xml:space="preserve">Effort</t>
  </si>
  <si>
    <t xml:space="preserve">Acceptance Criteria</t>
  </si>
  <si>
    <t xml:space="preserve">Release</t>
  </si>
  <si>
    <t xml:space="preserve">Repro Steps</t>
  </si>
  <si>
    <t xml:space="preserve">Affected Files</t>
  </si>
  <si>
    <t xml:space="preserve">Tags</t>
  </si>
  <si>
    <t xml:space="preserve">Created</t>
  </si>
  <si>
    <t xml:space="preserve">Updated</t>
  </si>
  <si>
    <t xml:space="preserve">IT-001</t>
  </si>
  <si>
    <t xml:space="preserve">Login page crashes on empty password submit</t>
  </si>
  <si>
    <t xml:space="preserve">Bug</t>
  </si>
  <si>
    <t xml:space="preserve">When user clicks Login with empty password field, app crashes instead of showing validation message</t>
  </si>
  <si>
    <t xml:space="preserve">P0</t>
  </si>
  <si>
    <t xml:space="preserve">Auth</t>
  </si>
  <si>
    <t xml:space="preserve">S</t>
  </si>
  <si>
    <t xml:space="preserve">Given empty password, when Login clicked, then show inline error 'Password required' without crash</t>
  </si>
  <si>
    <t xml:space="preserve">Backlog</t>
  </si>
  <si>
    <t xml:space="preserve">1. Open app
2. Leave password blank
3. Click Login
4. See crash</t>
  </si>
  <si>
    <t xml:space="preserve">src/pages/Login.jsx</t>
  </si>
  <si>
    <t xml:space="preserve">auth, crash</t>
  </si>
  <si>
    <t xml:space="preserve">2026-04-10</t>
  </si>
  <si>
    <t xml:space="preserve">IT-002</t>
  </si>
  <si>
    <t xml:space="preserve">Add table search / filter bar</t>
  </si>
  <si>
    <t xml:space="preserve">Enhancement</t>
  </si>
  <si>
    <t xml:space="preserve">Users need to quickly filter table rows by name or category without scrolling</t>
  </si>
  <si>
    <t xml:space="preserve">P1</t>
  </si>
  <si>
    <t xml:space="preserve">UI</t>
  </si>
  <si>
    <t xml:space="preserve">M</t>
  </si>
  <si>
    <t xml:space="preserve">Search input at top of table; filters rows in real-time; clears on X button click</t>
  </si>
  <si>
    <t xml:space="preserve">src/components/Table.jsx</t>
  </si>
  <si>
    <t xml:space="preserve">search, ux</t>
  </si>
  <si>
    <t xml:space="preserve">IT-003</t>
  </si>
  <si>
    <t xml:space="preserve">Menu items not saving on mobile</t>
  </si>
  <si>
    <t xml:space="preserve">On iOS Safari, saving a new menu item silently fails — no error shown, item disappears</t>
  </si>
  <si>
    <t xml:space="preserve">API</t>
  </si>
  <si>
    <t xml:space="preserve">Menu item saves successfully on all platforms; shows success toast; shows error if fails</t>
  </si>
  <si>
    <t xml:space="preserve">1. Open on iPhone
2. Add menu item
3. Tap Save
4. Item disappears</t>
  </si>
  <si>
    <t xml:space="preserve">api/routes/menu.js, src/pages/Menu.jsx</t>
  </si>
  <si>
    <t xml:space="preserve">mobile, ios</t>
  </si>
  <si>
    <t xml:space="preserve">IT-004</t>
  </si>
  <si>
    <t xml:space="preserve">Dark mode support</t>
  </si>
  <si>
    <t xml:space="preserve">Add dark mode toggle to app settings. Should respect OS preference by default.</t>
  </si>
  <si>
    <t xml:space="preserve">P2</t>
  </si>
  <si>
    <t xml:space="preserve">L</t>
  </si>
  <si>
    <t xml:space="preserve">Toggle in Settings; persists across sessions; respects OS dark mode; all screens supported</t>
  </si>
  <si>
    <t xml:space="preserve">src/styles/, src/context/ThemeContext.jsx</t>
  </si>
  <si>
    <t xml:space="preserve">dark-mode, settings</t>
  </si>
  <si>
    <t xml:space="preserve">IT-005</t>
  </si>
  <si>
    <t xml:space="preserve">Export menu to PDF</t>
  </si>
  <si>
    <t xml:space="preserve">Allow restaurant owners to export their menu as a print-ready PDF</t>
  </si>
  <si>
    <t xml:space="preserve">Export button on menu page; generates formatted PDF; includes images, prices, descriptions</t>
  </si>
  <si>
    <t xml:space="preserve">src/pages/Menu.jsx, api/routes/export.js</t>
  </si>
  <si>
    <t xml:space="preserve">export, pdf</t>
  </si>
  <si>
    <t xml:space="preserve">🚀  RELEASE PLANNER  —  Version Planning &amp; Tracking</t>
  </si>
  <si>
    <t xml:space="preserve">Releases here link to Backlog via the 'Release' column (col J). Item counts auto-calculate.</t>
  </si>
  <si>
    <t xml:space="preserve">Released Date</t>
  </si>
  <si>
    <t xml:space="preserve">Bugs</t>
  </si>
  <si>
    <t xml:space="preserve">Effort Points</t>
  </si>
  <si>
    <t xml:space="preserve">Goals &amp; Scope</t>
  </si>
  <si>
    <t xml:space="preserve">Notes</t>
  </si>
  <si>
    <t xml:space="preserve">Core table management, user auth, basic CRUD</t>
  </si>
  <si>
    <t xml:space="preserve">Internal testing only</t>
  </si>
  <si>
    <t xml:space="preserve">Beta testing — search, mobile, performance polish</t>
  </si>
  <si>
    <t xml:space="preserve">Invite-only beta</t>
  </si>
  <si>
    <t xml:space="preserve">Full public launch — complete feature set, polished UX</t>
  </si>
  <si>
    <t xml:space="preserve">App store + web launch</t>
  </si>
  <si>
    <t xml:space="preserve">🗺️  PRODUCT ROADMAP  —  Quarterly Overview  (2026–2027)</t>
  </si>
  <si>
    <t xml:space="preserve">High-level quarterly view. Releases auto-count items from the Backlog (col J). Color = release status.</t>
  </si>
  <si>
    <t xml:space="preserve">Theme / Area</t>
  </si>
  <si>
    <t xml:space="preserve">Q2 2026
(Apr–Jun)</t>
  </si>
  <si>
    <t xml:space="preserve">Q3 2026
(Jul–Sep)</t>
  </si>
  <si>
    <t xml:space="preserve">Q4 2026
(Oct–Dec)</t>
  </si>
  <si>
    <t xml:space="preserve">Q1 2027
(Jan–Mar)</t>
  </si>
  <si>
    <t xml:space="preserve">Q2 2027+</t>
  </si>
  <si>
    <t xml:space="preserve">🎯 Core Product</t>
  </si>
  <si>
    <t xml:space="preserve">v0.1.0
Internal Alpha</t>
  </si>
  <si>
    <t xml:space="preserve">v0.2.0
Beta</t>
  </si>
  <si>
    <t xml:space="preserve">v1.0.0
Public Launch</t>
  </si>
  <si>
    <t xml:space="preserve">v1.1.0
Feature Update</t>
  </si>
  <si>
    <t xml:space="preserve">v2.0 TBD</t>
  </si>
  <si>
    <t xml:space="preserve">🐛 Bug Fixes</t>
  </si>
  <si>
    <t xml:space="preserve">P0/P1 fixes
as found</t>
  </si>
  <si>
    <t xml:space="preserve">Beta bug sprint</t>
  </si>
  <si>
    <t xml:space="preserve">Launch bug freeze</t>
  </si>
  <si>
    <t xml:space="preserve">Patch releases</t>
  </si>
  <si>
    <t xml:space="preserve">Ongoing</t>
  </si>
  <si>
    <t xml:space="preserve">✨ Enhancements</t>
  </si>
  <si>
    <t xml:space="preserve">Core UX
foundation</t>
  </si>
  <si>
    <t xml:space="preserve">Performance
&amp; polish</t>
  </si>
  <si>
    <t xml:space="preserve">Launch features
complete</t>
  </si>
  <si>
    <t xml:space="preserve">Growth v1.1</t>
  </si>
  <si>
    <t xml:space="preserve">Expansion TBD</t>
  </si>
  <si>
    <t xml:space="preserve">🔗 Integrations</t>
  </si>
  <si>
    <t xml:space="preserve">—</t>
  </si>
  <si>
    <t xml:space="preserve">Basic
integrations</t>
  </si>
  <si>
    <t xml:space="preserve">Key partner
integrations</t>
  </si>
  <si>
    <t xml:space="preserve">Marketplace</t>
  </si>
  <si>
    <t xml:space="preserve">Expand</t>
  </si>
  <si>
    <t xml:space="preserve">📊 Data &amp; Analytics</t>
  </si>
  <si>
    <t xml:space="preserve">Internal
dashboard</t>
  </si>
  <si>
    <t xml:space="preserve">User analytics</t>
  </si>
  <si>
    <t xml:space="preserve">Full suite</t>
  </si>
  <si>
    <t xml:space="preserve">Advanced reports</t>
  </si>
  <si>
    <t xml:space="preserve">AI insights</t>
  </si>
  <si>
    <t xml:space="preserve">🎯  PRODUCT VISION &amp; STRATEGY  (Steven Haines Framework)</t>
  </si>
  <si>
    <t xml:space="preserve">  APP NAME &amp; TAGLINE</t>
  </si>
  <si>
    <t xml:space="preserve">InnerTable
[Your powerful one-line tagline]</t>
  </si>
  <si>
    <t xml:space="preserve">  VISION STATEMENT</t>
  </si>
  <si>
    <t xml:space="preserve">In 3 years, InnerTable will be the leading table management platform for independent restaurants who need a simple, powerful way to manage reservations, menus, and guest experiences — without expensive legacy systems.</t>
  </si>
  <si>
    <t xml:space="preserve">  MISSION STATEMENT</t>
  </si>
  <si>
    <t xml:space="preserve">We help independent restaurant owners deliver exceptional guest experiences by giving them affordable, intuitive tools to manage their dining rooms — so they can focus on hospitality, not software.</t>
  </si>
  <si>
    <t xml:space="preserve">  TARGET PERSONAS</t>
  </si>
  <si>
    <t xml:space="preserve">Persona 1 — Maria, Restaurant Owner (1-2 locations): Needs simple reservation mgmt, menu updates, no tech headaches.
Persona 2 — Jake, Front-of-House Manager: Needs real-time table status, easy waitlist, mobile-friendly.
Persona 3 — Sam, Guest: Wants easy online booking, confirmation, reminders.</t>
  </si>
  <si>
    <t xml:space="preserve">  STRATEGIC THEMES</t>
  </si>
  <si>
    <t xml:space="preserve">1. 🎯 Core Experience — Reservations, tables, menus: fast and simple
2. ⚡ Performance &amp; Reliability — Works perfectly on mobile, offline-capable
3. 🔗 Integrations — Connect to POS, review platforms, payment processors
4. 📊 Data &amp; Insights — Help owners understand their business
5. 🌱 Growth &amp; Retention — Features that make owners stick and grow</t>
  </si>
  <si>
    <t xml:space="preserve">  SUCCESS METRICS (KPIs)</t>
  </si>
  <si>
    <t xml:space="preserve">• Monthly Active Restaurants — target 500 by end of Y1
• Session frequency — target daily active use
• Reservation completion rate — target &gt;95%
• Net Promoter Score — target &gt;50
• Monthly churn — target &lt;3%</t>
  </si>
  <si>
    <t xml:space="preserve">  COMPETITIVE DIFFERENTIATION</t>
  </si>
  <si>
    <t xml:space="preserve">1. Simplicity — set up in under 10 minutes vs. 2+ hours for competitors
2. Price — 5x cheaper than OpenTable / Resy for small restaurants  
3. No contracts — month-to-month, cancel anytime
4. Built for independents — not chains or enterprise
5. Modern UX — looks and feels like a 2026 app, not a 2005 enterprise tool</t>
  </si>
  <si>
    <t xml:space="preserve">💡 TIP: Use this sheet to align every Backlog item and Release decision to your strategic themes above.</t>
  </si>
  <si>
    <t xml:space="preserve">📈  METRICS &amp; HEALTH TRACKING</t>
  </si>
  <si>
    <t xml:space="preserve">BUG BURN-DOWN BY PRIORITY</t>
  </si>
  <si>
    <t xml:space="preserve">ITEMS BY AREA</t>
  </si>
  <si>
    <t xml:space="preserve">% Done</t>
  </si>
  <si>
    <t xml:space="preserve">P1 High</t>
  </si>
  <si>
    <t xml:space="preserve">P2 Medium</t>
  </si>
  <si>
    <t xml:space="preserve">Database</t>
  </si>
  <si>
    <t xml:space="preserve">P3 Low</t>
  </si>
  <si>
    <t xml:space="preserve">ALL ITEMS</t>
  </si>
  <si>
    <t xml:space="preserve">Performance</t>
  </si>
  <si>
    <t xml:space="preserve">Notifications</t>
  </si>
  <si>
    <t xml:space="preserve">Integrations</t>
  </si>
  <si>
    <t xml:space="preserve">Other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</si>
</sst>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8"/>
      <color rgb="FF64748B"/>
      <name val="Arial"/>
      <family val="0"/>
      <charset val="1"/>
    </font>
    <font>
      <b val="true"/>
      <sz val="9"/>
      <color rgb="FF6366F1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9"/>
      <color rgb="FF7C3AED"/>
      <name val="Arial"/>
      <family val="0"/>
      <charset val="1"/>
    </font>
    <font>
      <b val="true"/>
      <sz val="9"/>
      <color rgb="FFEA580C"/>
      <name val="Arial"/>
      <family val="0"/>
      <charset val="1"/>
    </font>
    <font>
      <b val="true"/>
      <sz val="9"/>
      <color rgb="FF16A34A"/>
      <name val="Arial"/>
      <family val="0"/>
      <charset val="1"/>
    </font>
    <font>
      <b val="true"/>
      <sz val="24"/>
      <color rgb="FF6366F1"/>
      <name val="Arial"/>
      <family val="0"/>
      <charset val="1"/>
    </font>
    <font>
      <b val="true"/>
      <sz val="24"/>
      <color rgb="FFDC2626"/>
      <name val="Arial"/>
      <family val="0"/>
      <charset val="1"/>
    </font>
    <font>
      <b val="true"/>
      <sz val="24"/>
      <color rgb="FF7C3AED"/>
      <name val="Arial"/>
      <family val="0"/>
      <charset val="1"/>
    </font>
    <font>
      <b val="true"/>
      <sz val="24"/>
      <color rgb="FFEA580C"/>
      <name val="Arial"/>
      <family val="0"/>
      <charset val="1"/>
    </font>
    <font>
      <b val="true"/>
      <sz val="24"/>
      <color rgb="FF16A34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F172A"/>
      <name val="Arial"/>
      <family val="0"/>
      <charset val="1"/>
    </font>
    <font>
      <b val="true"/>
      <sz val="9"/>
      <color rgb="FF854D0E"/>
      <name val="Arial"/>
      <family val="0"/>
      <charset val="1"/>
    </font>
    <font>
      <b val="true"/>
      <sz val="9"/>
      <color rgb="FF0D9488"/>
      <name val="Courier New"/>
      <family val="0"/>
      <charset val="1"/>
    </font>
    <font>
      <b val="true"/>
      <sz val="9"/>
      <color rgb="FF3730A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8"/>
      <color rgb="FFDC2626"/>
      <name val="Arial"/>
      <family val="0"/>
      <charset val="1"/>
    </font>
    <font>
      <b val="true"/>
      <sz val="8"/>
      <color rgb="FFEA580C"/>
      <name val="Arial"/>
      <family val="0"/>
      <charset val="1"/>
    </font>
    <font>
      <b val="true"/>
      <sz val="8"/>
      <color rgb="FF854D0E"/>
      <name val="Arial"/>
      <family val="0"/>
      <charset val="1"/>
    </font>
    <font>
      <b val="true"/>
      <sz val="8"/>
      <color rgb="FF16A34A"/>
      <name val="Arial"/>
      <family val="0"/>
      <charset val="1"/>
    </font>
    <font>
      <b val="true"/>
      <sz val="8"/>
      <color rgb="FF7C3AED"/>
      <name val="Arial"/>
      <family val="0"/>
      <charset val="1"/>
    </font>
    <font>
      <b val="true"/>
      <sz val="9"/>
      <color rgb="FF64748B"/>
      <name val="Courier New"/>
      <family val="0"/>
      <charset val="1"/>
    </font>
    <font>
      <b val="true"/>
      <sz val="9"/>
      <color rgb="FF64748B"/>
      <name val="Arial"/>
      <family val="0"/>
      <charset val="1"/>
    </font>
    <font>
      <b val="true"/>
      <sz val="10"/>
      <color rgb="FF0D9488"/>
      <name val="Courier New"/>
      <family val="0"/>
      <charset val="1"/>
    </font>
    <font>
      <sz val="9"/>
      <color rgb="FF6366F1"/>
      <name val="Arial"/>
      <family val="0"/>
      <charset val="1"/>
    </font>
    <font>
      <sz val="9"/>
      <color rgb="FFDC2626"/>
      <name val="Arial"/>
      <family val="0"/>
      <charset val="1"/>
    </font>
    <font>
      <sz val="9"/>
      <color rgb="FF7C3AED"/>
      <name val="Arial"/>
      <family val="0"/>
      <charset val="1"/>
    </font>
    <font>
      <b val="true"/>
      <sz val="9"/>
      <color rgb="FF0D9488"/>
      <name val="Arial"/>
      <family val="0"/>
      <charset val="1"/>
    </font>
    <font>
      <sz val="9"/>
      <color rgb="FF0D9488"/>
      <name val="Arial"/>
      <family val="0"/>
      <charset val="1"/>
    </font>
    <font>
      <sz val="9"/>
      <color rgb="FF16A3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74151"/>
      <name val="Arial"/>
      <family val="0"/>
      <charset val="1"/>
    </font>
    <font>
      <i val="true"/>
      <sz val="9"/>
      <color rgb="FF0369A1"/>
      <name val="Arial"/>
      <family val="0"/>
      <charset val="1"/>
    </font>
    <font>
      <sz val="9"/>
      <color rgb="FFEA580C"/>
      <name val="Arial"/>
      <family val="0"/>
      <charset val="1"/>
    </font>
    <font>
      <sz val="9"/>
      <color rgb="FF854D0E"/>
      <name val="Arial"/>
      <family val="0"/>
      <charset val="1"/>
    </font>
    <font>
      <b val="true"/>
      <sz val="9"/>
      <color rgb="FF0F172A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3730A3"/>
        <bgColor rgb="FF374151"/>
      </patternFill>
    </fill>
    <fill>
      <patternFill patternType="solid">
        <fgColor rgb="FFE0E7FF"/>
        <bgColor rgb="FFE2E8F0"/>
      </patternFill>
    </fill>
    <fill>
      <patternFill patternType="solid">
        <fgColor rgb="FFF1F5F9"/>
        <bgColor rgb="FFF5F3FF"/>
      </patternFill>
    </fill>
    <fill>
      <patternFill patternType="solid">
        <fgColor rgb="FFFEE2E2"/>
        <bgColor rgb="FFFFEDD5"/>
      </patternFill>
    </fill>
    <fill>
      <patternFill patternType="solid">
        <fgColor rgb="FFEDE9FE"/>
        <bgColor rgb="FFE0E7FF"/>
      </patternFill>
    </fill>
    <fill>
      <patternFill patternType="solid">
        <fgColor rgb="FFFFEDD5"/>
        <bgColor rgb="FFFEF3C7"/>
      </patternFill>
    </fill>
    <fill>
      <patternFill patternType="solid">
        <fgColor rgb="FFDCFCE7"/>
        <bgColor rgb="FFCCFBF1"/>
      </patternFill>
    </fill>
    <fill>
      <patternFill patternType="solid">
        <fgColor rgb="FF6366F1"/>
        <bgColor rgb="FF64748B"/>
      </patternFill>
    </fill>
    <fill>
      <patternFill patternType="solid">
        <fgColor rgb="FFF8FAFC"/>
        <bgColor rgb="FFFFFFFF"/>
      </patternFill>
    </fill>
    <fill>
      <patternFill patternType="solid">
        <fgColor rgb="FFFEF9C3"/>
        <bgColor rgb="FFFEF3C7"/>
      </patternFill>
    </fill>
    <fill>
      <patternFill patternType="solid">
        <fgColor rgb="FF7C3AED"/>
        <bgColor rgb="FF6366F1"/>
      </patternFill>
    </fill>
    <fill>
      <patternFill patternType="solid">
        <fgColor rgb="FF0D9488"/>
        <bgColor rgb="FF008080"/>
      </patternFill>
    </fill>
    <fill>
      <patternFill patternType="solid">
        <fgColor rgb="FFCCFBF1"/>
        <bgColor rgb="FFDCFCE7"/>
      </patternFill>
    </fill>
    <fill>
      <patternFill patternType="solid">
        <fgColor rgb="FFD97706"/>
        <bgColor rgb="FFEA580C"/>
      </patternFill>
    </fill>
    <fill>
      <patternFill patternType="solid">
        <fgColor rgb="FFFEF3C7"/>
        <bgColor rgb="FFFEF9C3"/>
      </patternFill>
    </fill>
    <fill>
      <patternFill patternType="solid">
        <fgColor rgb="FF0369A1"/>
        <bgColor rgb="FF008080"/>
      </patternFill>
    </fill>
    <fill>
      <patternFill patternType="solid">
        <fgColor rgb="FFE0F2FE"/>
        <bgColor rgb="FFE0E7FF"/>
      </patternFill>
    </fill>
    <fill>
      <patternFill patternType="solid">
        <fgColor rgb="FF1D4ED8"/>
        <bgColor rgb="FF0369A1"/>
      </patternFill>
    </fill>
    <fill>
      <patternFill patternType="solid">
        <fgColor rgb="FF16A34A"/>
        <bgColor rgb="FF0D9488"/>
      </patternFill>
    </fill>
    <fill>
      <patternFill patternType="solid">
        <fgColor rgb="FFEA580C"/>
        <bgColor rgb="FFD97706"/>
      </patternFill>
    </fill>
    <fill>
      <patternFill patternType="solid">
        <fgColor rgb="FFFFF7ED"/>
        <bgColor rgb="FFF8FAFC"/>
      </patternFill>
    </fill>
    <fill>
      <patternFill patternType="solid">
        <fgColor rgb="FFF5F3FF"/>
        <bgColor rgb="FFF1F5F9"/>
      </patternFill>
    </fill>
    <fill>
      <patternFill patternType="solid">
        <fgColor rgb="FFDC2626"/>
        <bgColor rgb="FFEA580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 diagonalUp="false" diagonalDown="false">
      <left style="thin">
        <color rgb="FFE2E8F0"/>
      </left>
      <right/>
      <top style="thin">
        <color rgb="FFE2E8F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8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7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8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7" fillId="2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22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7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23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7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2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5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9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7ED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E2E8F0"/>
      <rgbColor rgb="FF6366F1"/>
      <rgbColor rgb="FF9999FF"/>
      <rgbColor rgb="FF7C3AED"/>
      <rgbColor rgb="FFFEF9C3"/>
      <rgbColor rgb="FFCCFBF1"/>
      <rgbColor rgb="FF660066"/>
      <rgbColor rgb="FFD97706"/>
      <rgbColor rgb="FF0369A1"/>
      <rgbColor rgb="FFE0E7FF"/>
      <rgbColor rgb="FF000080"/>
      <rgbColor rgb="FFFF00FF"/>
      <rgbColor rgb="FFF1F5F9"/>
      <rgbColor rgb="FF00FFFF"/>
      <rgbColor rgb="FF800080"/>
      <rgbColor rgb="FF800000"/>
      <rgbColor rgb="FF008080"/>
      <rgbColor rgb="FF0000FF"/>
      <rgbColor rgb="FF0EA5E9"/>
      <rgbColor rgb="FFDCFCE7"/>
      <rgbColor rgb="FFE0F2FE"/>
      <rgbColor rgb="FFFEF3C7"/>
      <rgbColor rgb="FFEDE9FE"/>
      <rgbColor rgb="FFFFEDD5"/>
      <rgbColor rgb="FFF5F3FF"/>
      <rgbColor rgb="FFFEE2E2"/>
      <rgbColor rgb="FF1D4ED8"/>
      <rgbColor rgb="FF33CCCC"/>
      <rgbColor rgb="FF99CC00"/>
      <rgbColor rgb="FFF8FAFC"/>
      <rgbColor rgb="FFF59E0B"/>
      <rgbColor rgb="FFEA580C"/>
      <rgbColor rgb="FF64748B"/>
      <rgbColor rgb="FF969696"/>
      <rgbColor rgb="FF003366"/>
      <rgbColor rgb="FF16A34A"/>
      <rgbColor rgb="FF0F172A"/>
      <rgbColor rgb="FF333300"/>
      <rgbColor rgb="FF854D0E"/>
      <rgbColor rgb="FF993366"/>
      <rgbColor rgb="FF3730A3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66F1"/>
    <pageSetUpPr fitToPage="false"/>
  </sheetPr>
  <dimension ref="A1:L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12" min="9" style="0" width="5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9.7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8" hidden="false" customHeight="true" outlineLevel="0" collapsed="false">
      <c r="A5" s="4" t="s">
        <v>3</v>
      </c>
      <c r="B5" s="4"/>
      <c r="C5" s="5" t="s">
        <v>4</v>
      </c>
      <c r="D5" s="5"/>
      <c r="E5" s="6" t="s">
        <v>5</v>
      </c>
      <c r="F5" s="6"/>
      <c r="G5" s="5" t="s">
        <v>6</v>
      </c>
      <c r="H5" s="5"/>
      <c r="I5" s="7" t="s">
        <v>7</v>
      </c>
      <c r="J5" s="7"/>
      <c r="K5" s="8" t="s">
        <v>8</v>
      </c>
      <c r="L5" s="8"/>
    </row>
    <row r="6" customFormat="false" ht="39.75" hidden="false" customHeight="true" outlineLevel="0" collapsed="false">
      <c r="A6" s="9" t="e">
        <f aca="false">COUNTA(backlog\!B6:B500)</f>
        <v>#VALUE!</v>
      </c>
      <c r="B6" s="9"/>
      <c r="C6" s="10" t="e">
        <f aca="false">COUNTIFS(backlog\!C6:C500,"Bug",backlog\!I6:I500,"&lt;&gt;Done")</f>
        <v>#VALUE!</v>
      </c>
      <c r="D6" s="10"/>
      <c r="E6" s="11" t="e">
        <f aca="false">COUNTIFS(backlog\!C6:C500,"Enhancement",backlog\!I6:I500,"&lt;&gt;Done")</f>
        <v>#VALUE!</v>
      </c>
      <c r="F6" s="11"/>
      <c r="G6" s="10" t="e">
        <f aca="false">COUNTIFS(backlog\!E6:E500,"P0",backlog\!I6:I500,"&lt;&gt;Done")</f>
        <v>#VALUE!</v>
      </c>
      <c r="H6" s="10"/>
      <c r="I6" s="12" t="e">
        <f aca="false">COUNTIF(backlog\!I6:I500,"Staged")</f>
        <v>#VALUE!</v>
      </c>
      <c r="J6" s="12"/>
      <c r="K6" s="13" t="e">
        <f aca="false">COUNTIF(backlog\!I6:I500,"Done")</f>
        <v>#VALUE!</v>
      </c>
      <c r="L6" s="13"/>
    </row>
    <row r="7" customFormat="false" ht="18" hidden="false" customHeight="true" outlineLevel="0" collapsed="false">
      <c r="A7" s="14"/>
      <c r="B7" s="14"/>
      <c r="C7" s="15"/>
      <c r="D7" s="15"/>
      <c r="E7" s="16"/>
      <c r="F7" s="16"/>
      <c r="G7" s="15"/>
      <c r="H7" s="15"/>
      <c r="I7" s="17"/>
      <c r="J7" s="17"/>
      <c r="K7" s="18"/>
      <c r="L7" s="18"/>
    </row>
    <row r="8" customFormat="false" ht="12" hidden="false" customHeight="true" outlineLevel="0" collapsed="false"/>
    <row r="9" customFormat="false" ht="19.5" hidden="false" customHeight="true" outlineLevel="0" collapsed="false">
      <c r="A9" s="3" t="s">
        <v>9</v>
      </c>
      <c r="B9" s="3"/>
      <c r="C9" s="3"/>
      <c r="D9" s="3"/>
    </row>
    <row r="10" customFormat="false" ht="18" hidden="false" customHeight="true" outlineLevel="0" collapsed="false">
      <c r="A10" s="19" t="s">
        <v>10</v>
      </c>
      <c r="B10" s="19" t="s">
        <v>11</v>
      </c>
      <c r="C10" s="19" t="s">
        <v>8</v>
      </c>
      <c r="D10" s="19" t="s">
        <v>12</v>
      </c>
    </row>
    <row r="11" customFormat="false" ht="19.5" hidden="false" customHeight="true" outlineLevel="0" collapsed="false">
      <c r="A11" s="20" t="s">
        <v>13</v>
      </c>
      <c r="B11" s="21" t="e">
        <f aca="false">COUNTIFS(backlog\!E6:E500,"P0",backlog\!I6:I500,"&lt;&gt;Done")</f>
        <v>#VALUE!</v>
      </c>
      <c r="C11" s="21" t="e">
        <f aca="false">COUNTIFS(backlog\!E6:E500,"P0",backlog\!I6:I500,"Done")</f>
        <v>#VALUE!</v>
      </c>
      <c r="D11" s="21" t="e">
        <f aca="false">COUNTIF(backlog\!E6:E500,"P0")</f>
        <v>#VALUE!</v>
      </c>
    </row>
    <row r="12" customFormat="false" ht="19.5" hidden="false" customHeight="true" outlineLevel="0" collapsed="false">
      <c r="A12" s="22" t="s">
        <v>14</v>
      </c>
      <c r="B12" s="21" t="e">
        <f aca="false">COUNTIFS(backlog\!E6:E500,"P1",backlog\!I6:I500,"&lt;&gt;Done")</f>
        <v>#VALUE!</v>
      </c>
      <c r="C12" s="21" t="e">
        <f aca="false">COUNTIFS(backlog\!E6:E500,"P1",backlog\!I6:I500,"Done")</f>
        <v>#VALUE!</v>
      </c>
      <c r="D12" s="21" t="e">
        <f aca="false">COUNTIF(backlog\!E6:E500,"P1")</f>
        <v>#VALUE!</v>
      </c>
    </row>
    <row r="13" customFormat="false" ht="19.5" hidden="false" customHeight="true" outlineLevel="0" collapsed="false">
      <c r="A13" s="23" t="s">
        <v>15</v>
      </c>
      <c r="B13" s="21" t="e">
        <f aca="false">COUNTIFS(backlog\!E6:E500,"P2",backlog\!I6:I500,"&lt;&gt;Done")</f>
        <v>#VALUE!</v>
      </c>
      <c r="C13" s="21" t="e">
        <f aca="false">COUNTIFS(backlog\!E6:E500,"P2",backlog\!I6:I500,"Done")</f>
        <v>#VALUE!</v>
      </c>
      <c r="D13" s="21" t="e">
        <f aca="false">COUNTIF(backlog\!E6:E500,"P2")</f>
        <v>#VALUE!</v>
      </c>
    </row>
    <row r="14" customFormat="false" ht="19.5" hidden="false" customHeight="true" outlineLevel="0" collapsed="false">
      <c r="A14" s="24" t="s">
        <v>16</v>
      </c>
      <c r="B14" s="21" t="e">
        <f aca="false">COUNTIFS(backlog\!E6:E500,"P3",backlog\!I6:I500,"&lt;&gt;Done")</f>
        <v>#VALUE!</v>
      </c>
      <c r="C14" s="21" t="e">
        <f aca="false">COUNTIFS(backlog\!E6:E500,"P3",backlog\!I6:I500,"Done")</f>
        <v>#VALUE!</v>
      </c>
      <c r="D14" s="21" t="e">
        <f aca="false">COUNTIF(backlog\!E6:E500,"P3")</f>
        <v>#VALUE!</v>
      </c>
    </row>
    <row r="15" customFormat="false" ht="12" hidden="false" customHeight="true" outlineLevel="0" collapsed="false"/>
    <row r="16" customFormat="false" ht="19.5" hidden="false" customHeight="true" outlineLevel="0" collapsed="false">
      <c r="A16" s="3" t="s">
        <v>17</v>
      </c>
      <c r="B16" s="3"/>
      <c r="C16" s="3"/>
      <c r="D16" s="3"/>
      <c r="E16" s="3"/>
      <c r="F16" s="3"/>
      <c r="G16" s="3"/>
      <c r="H16" s="3"/>
    </row>
    <row r="17" customFormat="false" ht="18" hidden="false" customHeight="true" outlineLevel="0" collapsed="false">
      <c r="A17" s="19" t="s">
        <v>18</v>
      </c>
      <c r="B17" s="19" t="s">
        <v>19</v>
      </c>
      <c r="C17" s="19" t="s">
        <v>20</v>
      </c>
      <c r="D17" s="19" t="s">
        <v>21</v>
      </c>
      <c r="E17" s="19" t="s">
        <v>22</v>
      </c>
      <c r="F17" s="19" t="s">
        <v>23</v>
      </c>
      <c r="G17" s="19" t="s">
        <v>24</v>
      </c>
      <c r="H17" s="19" t="s">
        <v>25</v>
      </c>
    </row>
    <row r="18" customFormat="false" ht="18" hidden="false" customHeight="true" outlineLevel="0" collapsed="false">
      <c r="A18" s="25" t="s">
        <v>26</v>
      </c>
      <c r="B18" s="26" t="s">
        <v>27</v>
      </c>
      <c r="C18" s="27" t="s">
        <v>28</v>
      </c>
      <c r="D18" s="28" t="s">
        <v>29</v>
      </c>
      <c r="E18" s="27" t="e">
        <f aca="false">COUNTIF(releases\!A5:A100,"v0.1.0")</f>
        <v>#VALUE!</v>
      </c>
      <c r="F18" s="27"/>
      <c r="G18" s="27"/>
      <c r="H18" s="26" t="s">
        <v>30</v>
      </c>
    </row>
    <row r="19" customFormat="false" ht="18" hidden="false" customHeight="true" outlineLevel="0" collapsed="false">
      <c r="A19" s="25" t="s">
        <v>31</v>
      </c>
      <c r="B19" s="26" t="s">
        <v>32</v>
      </c>
      <c r="C19" s="27" t="s">
        <v>33</v>
      </c>
      <c r="D19" s="28" t="s">
        <v>29</v>
      </c>
      <c r="E19" s="27" t="e">
        <f aca="false">COUNTIF(releases\!A5:A100,"v0.2.0")</f>
        <v>#VALUE!</v>
      </c>
      <c r="F19" s="27"/>
      <c r="G19" s="27"/>
      <c r="H19" s="26" t="s">
        <v>34</v>
      </c>
    </row>
    <row r="20" customFormat="false" ht="18" hidden="false" customHeight="true" outlineLevel="0" collapsed="false">
      <c r="A20" s="25" t="s">
        <v>35</v>
      </c>
      <c r="B20" s="26" t="s">
        <v>36</v>
      </c>
      <c r="C20" s="27" t="s">
        <v>37</v>
      </c>
      <c r="D20" s="28" t="s">
        <v>29</v>
      </c>
      <c r="E20" s="27" t="e">
        <f aca="false">COUNTIF(releases\!A5:A100,"v1.0.0")</f>
        <v>#VALUE!</v>
      </c>
      <c r="F20" s="27"/>
      <c r="G20" s="27"/>
      <c r="H20" s="26" t="s">
        <v>38</v>
      </c>
    </row>
  </sheetData>
  <mergeCells count="23">
    <mergeCell ref="A1:J1"/>
    <mergeCell ref="A2:J2"/>
    <mergeCell ref="A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9:D9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O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36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28"/>
    <col collapsed="false" customWidth="true" hidden="false" outlineLevel="0" max="12" min="12" style="0" width="24"/>
    <col collapsed="false" customWidth="true" hidden="false" outlineLevel="0" max="13" min="13" style="0" width="18"/>
    <col collapsed="false" customWidth="true" hidden="false" outlineLevel="0" max="15" min="14" style="0" width="12"/>
  </cols>
  <sheetData>
    <row r="1" customFormat="false" ht="36" hidden="false" customHeight="true" outlineLevel="0" collapsed="false">
      <c r="A1" s="29" t="s">
        <v>39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customFormat="false" ht="19.5" hidden="false" customHeight="true" outlineLevel="0" collapsed="false">
      <c r="A2" s="30" t="s">
        <v>40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customFormat="false" ht="7.5" hidden="false" customHeight="true" outlineLevel="0" collapsed="false"/>
    <row r="4" customFormat="false" ht="15.75" hidden="false" customHeight="true" outlineLevel="0" collapsed="false">
      <c r="A4" s="31" t="s">
        <v>41</v>
      </c>
      <c r="B4" s="32" t="s">
        <v>42</v>
      </c>
      <c r="C4" s="33" t="s">
        <v>43</v>
      </c>
      <c r="D4" s="34" t="s">
        <v>44</v>
      </c>
      <c r="E4" s="31" t="s">
        <v>45</v>
      </c>
      <c r="F4" s="35" t="s">
        <v>46</v>
      </c>
    </row>
    <row r="5" customFormat="false" ht="19.5" hidden="false" customHeight="true" outlineLevel="0" collapsed="false">
      <c r="A5" s="36" t="s">
        <v>47</v>
      </c>
      <c r="B5" s="36" t="s">
        <v>48</v>
      </c>
      <c r="C5" s="36" t="s">
        <v>49</v>
      </c>
      <c r="D5" s="36" t="s">
        <v>50</v>
      </c>
      <c r="E5" s="36" t="s">
        <v>10</v>
      </c>
      <c r="F5" s="36" t="s">
        <v>51</v>
      </c>
      <c r="G5" s="36" t="s">
        <v>52</v>
      </c>
      <c r="H5" s="36" t="s">
        <v>53</v>
      </c>
      <c r="I5" s="36" t="s">
        <v>21</v>
      </c>
      <c r="J5" s="36" t="s">
        <v>54</v>
      </c>
      <c r="K5" s="36" t="s">
        <v>55</v>
      </c>
      <c r="L5" s="36" t="s">
        <v>56</v>
      </c>
      <c r="M5" s="36" t="s">
        <v>57</v>
      </c>
      <c r="N5" s="36" t="s">
        <v>58</v>
      </c>
      <c r="O5" s="36" t="s">
        <v>59</v>
      </c>
    </row>
    <row r="6" customFormat="false" ht="42" hidden="false" customHeight="true" outlineLevel="0" collapsed="false">
      <c r="A6" s="37" t="s">
        <v>60</v>
      </c>
      <c r="B6" s="38" t="s">
        <v>61</v>
      </c>
      <c r="C6" s="39" t="s">
        <v>62</v>
      </c>
      <c r="D6" s="40" t="s">
        <v>63</v>
      </c>
      <c r="E6" s="39" t="s">
        <v>64</v>
      </c>
      <c r="F6" s="21" t="s">
        <v>65</v>
      </c>
      <c r="G6" s="21" t="s">
        <v>66</v>
      </c>
      <c r="H6" s="40" t="s">
        <v>67</v>
      </c>
      <c r="I6" s="41" t="s">
        <v>68</v>
      </c>
      <c r="J6" s="21"/>
      <c r="K6" s="40" t="s">
        <v>69</v>
      </c>
      <c r="L6" s="38" t="s">
        <v>70</v>
      </c>
      <c r="M6" s="38" t="s">
        <v>71</v>
      </c>
      <c r="N6" s="21" t="s">
        <v>72</v>
      </c>
      <c r="O6" s="21"/>
    </row>
    <row r="7" customFormat="false" ht="42" hidden="false" customHeight="true" outlineLevel="0" collapsed="false">
      <c r="A7" s="37" t="s">
        <v>73</v>
      </c>
      <c r="B7" s="26" t="s">
        <v>74</v>
      </c>
      <c r="C7" s="42" t="s">
        <v>75</v>
      </c>
      <c r="D7" s="43" t="s">
        <v>76</v>
      </c>
      <c r="E7" s="44" t="s">
        <v>77</v>
      </c>
      <c r="F7" s="27" t="s">
        <v>78</v>
      </c>
      <c r="G7" s="27" t="s">
        <v>79</v>
      </c>
      <c r="H7" s="43" t="s">
        <v>80</v>
      </c>
      <c r="I7" s="41" t="s">
        <v>68</v>
      </c>
      <c r="J7" s="27"/>
      <c r="K7" s="43"/>
      <c r="L7" s="26" t="s">
        <v>81</v>
      </c>
      <c r="M7" s="26" t="s">
        <v>82</v>
      </c>
      <c r="N7" s="27" t="s">
        <v>72</v>
      </c>
      <c r="O7" s="27"/>
    </row>
    <row r="8" customFormat="false" ht="42" hidden="false" customHeight="true" outlineLevel="0" collapsed="false">
      <c r="A8" s="37" t="s">
        <v>83</v>
      </c>
      <c r="B8" s="38" t="s">
        <v>84</v>
      </c>
      <c r="C8" s="39" t="s">
        <v>62</v>
      </c>
      <c r="D8" s="40" t="s">
        <v>85</v>
      </c>
      <c r="E8" s="44" t="s">
        <v>77</v>
      </c>
      <c r="F8" s="21" t="s">
        <v>86</v>
      </c>
      <c r="G8" s="21" t="s">
        <v>79</v>
      </c>
      <c r="H8" s="40" t="s">
        <v>87</v>
      </c>
      <c r="I8" s="41" t="s">
        <v>68</v>
      </c>
      <c r="J8" s="21"/>
      <c r="K8" s="40" t="s">
        <v>88</v>
      </c>
      <c r="L8" s="38" t="s">
        <v>89</v>
      </c>
      <c r="M8" s="38" t="s">
        <v>90</v>
      </c>
      <c r="N8" s="21" t="s">
        <v>72</v>
      </c>
      <c r="O8" s="21"/>
    </row>
    <row r="9" customFormat="false" ht="42" hidden="false" customHeight="true" outlineLevel="0" collapsed="false">
      <c r="A9" s="37" t="s">
        <v>91</v>
      </c>
      <c r="B9" s="26" t="s">
        <v>92</v>
      </c>
      <c r="C9" s="42" t="s">
        <v>75</v>
      </c>
      <c r="D9" s="43" t="s">
        <v>93</v>
      </c>
      <c r="E9" s="45" t="s">
        <v>94</v>
      </c>
      <c r="F9" s="27" t="s">
        <v>78</v>
      </c>
      <c r="G9" s="27" t="s">
        <v>95</v>
      </c>
      <c r="H9" s="43" t="s">
        <v>96</v>
      </c>
      <c r="I9" s="41" t="s">
        <v>68</v>
      </c>
      <c r="J9" s="27"/>
      <c r="K9" s="43"/>
      <c r="L9" s="26" t="s">
        <v>97</v>
      </c>
      <c r="M9" s="26" t="s">
        <v>98</v>
      </c>
      <c r="N9" s="27" t="s">
        <v>72</v>
      </c>
      <c r="O9" s="27"/>
    </row>
    <row r="10" customFormat="false" ht="42" hidden="false" customHeight="true" outlineLevel="0" collapsed="false">
      <c r="A10" s="37" t="s">
        <v>99</v>
      </c>
      <c r="B10" s="38" t="s">
        <v>100</v>
      </c>
      <c r="C10" s="42" t="s">
        <v>75</v>
      </c>
      <c r="D10" s="40" t="s">
        <v>101</v>
      </c>
      <c r="E10" s="45" t="s">
        <v>94</v>
      </c>
      <c r="F10" s="21" t="s">
        <v>78</v>
      </c>
      <c r="G10" s="21" t="s">
        <v>95</v>
      </c>
      <c r="H10" s="40" t="s">
        <v>102</v>
      </c>
      <c r="I10" s="41" t="s">
        <v>68</v>
      </c>
      <c r="J10" s="21"/>
      <c r="K10" s="40"/>
      <c r="L10" s="38" t="s">
        <v>103</v>
      </c>
      <c r="M10" s="38" t="s">
        <v>104</v>
      </c>
      <c r="N10" s="21" t="s">
        <v>72</v>
      </c>
      <c r="O10" s="21"/>
    </row>
    <row r="11" customFormat="false" ht="24" hidden="false" customHeight="true" outlineLevel="0" collapsed="false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</row>
    <row r="12" customFormat="false" ht="24" hidden="false" customHeight="true" outlineLevel="0" collapsed="false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</row>
    <row r="13" customFormat="false" ht="24" hidden="false" customHeight="true" outlineLevel="0" collapsed="false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</row>
    <row r="14" customFormat="false" ht="24" hidden="false" customHeight="true" outlineLevel="0" collapsed="false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</row>
    <row r="15" customFormat="false" ht="24" hidden="false" customHeight="true" outlineLevel="0" collapsed="false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</row>
    <row r="16" customFormat="false" ht="24" hidden="false" customHeight="true" outlineLevel="0" collapsed="false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</row>
    <row r="17" customFormat="false" ht="24" hidden="false" customHeight="true" outlineLevel="0" collapsed="false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</row>
    <row r="18" customFormat="false" ht="24" hidden="false" customHeight="true" outlineLevel="0" collapsed="false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</row>
    <row r="19" customFormat="false" ht="24" hidden="false" customHeight="true" outlineLevel="0" collapsed="false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</row>
    <row r="20" customFormat="false" ht="24" hidden="false" customHeight="true" outlineLevel="0" collapsed="false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</row>
    <row r="21" customFormat="false" ht="24" hidden="false" customHeight="true" outlineLevel="0" collapsed="false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</row>
    <row r="22" customFormat="false" ht="24" hidden="false" customHeight="true" outlineLevel="0" collapsed="false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</row>
    <row r="23" customFormat="false" ht="24" hidden="false" customHeight="true" outlineLevel="0" collapsed="false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</row>
    <row r="24" customFormat="false" ht="24" hidden="false" customHeight="true" outlineLevel="0" collapsed="false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</row>
    <row r="25" customFormat="false" ht="24" hidden="false" customHeight="true" outlineLevel="0" collapsed="false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</row>
    <row r="26" customFormat="false" ht="24" hidden="false" customHeight="true" outlineLevel="0" collapsed="false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</row>
    <row r="27" customFormat="false" ht="24" hidden="false" customHeight="true" outlineLevel="0" collapsed="false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</row>
    <row r="28" customFormat="false" ht="24" hidden="false" customHeight="true" outlineLevel="0" collapsed="false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</row>
    <row r="29" customFormat="false" ht="24" hidden="false" customHeight="true" outlineLevel="0" collapsed="false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</row>
    <row r="30" customFormat="false" ht="24" hidden="false" customHeight="true" outlineLevel="0" collapsed="false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</row>
    <row r="31" customFormat="false" ht="24" hidden="false" customHeight="true" outlineLevel="0" collapsed="false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</row>
    <row r="32" customFormat="false" ht="24" hidden="false" customHeight="true" outlineLevel="0" collapsed="false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</row>
    <row r="33" customFormat="false" ht="24" hidden="false" customHeight="true" outlineLevel="0" collapsed="false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</row>
    <row r="34" customFormat="false" ht="24" hidden="false" customHeight="true" outlineLevel="0" collapsed="false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</row>
    <row r="35" customFormat="false" ht="24" hidden="false" customHeight="true" outlineLevel="0" collapsed="false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</row>
  </sheetData>
  <mergeCells count="2">
    <mergeCell ref="A1:O1"/>
    <mergeCell ref="A2:O2"/>
  </mergeCells>
  <dataValidations count="5">
    <dataValidation allowBlank="true" errorStyle="stop" operator="between" showDropDown="false" showErrorMessage="false" showInputMessage="false" sqref="C6:C500" type="list">
      <formula1>"Bug,Enhancement"</formula1>
      <formula2>0</formula2>
    </dataValidation>
    <dataValidation allowBlank="true" errorStyle="stop" operator="between" showDropDown="false" showErrorMessage="false" showInputMessage="false" sqref="E6:E500" type="list">
      <formula1>"P0,P1,P2,P3"</formula1>
      <formula2>0</formula2>
    </dataValidation>
    <dataValidation allowBlank="true" errorStyle="stop" operator="between" showDropDown="false" showErrorMessage="false" showInputMessage="false" sqref="G6:G500" type="list">
      <formula1>"S,M,L,XL"</formula1>
      <formula2>0</formula2>
    </dataValidation>
    <dataValidation allowBlank="true" errorStyle="stop" operator="between" showDropDown="false" showErrorMessage="false" showInputMessage="false" sqref="I6:I500" type="list">
      <formula1>"Backlog,Staged,In Progress,Done"</formula1>
      <formula2>0</formula2>
    </dataValidation>
    <dataValidation allowBlank="true" errorStyle="stop" operator="between" showDropDown="false" showErrorMessage="false" showInputMessage="false" sqref="F6:F500" type="list">
      <formula1>"UI,API,Database,Auth,Performance,Notifications,Integrations,Other"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9" min="8" style="0" width="12"/>
    <col collapsed="false" customWidth="true" hidden="false" outlineLevel="0" max="10" min="10" style="0" width="38"/>
    <col collapsed="false" customWidth="true" hidden="false" outlineLevel="0" max="11" min="11" style="0" width="28"/>
  </cols>
  <sheetData>
    <row r="1" customFormat="false" ht="36" hidden="false" customHeight="true" outlineLevel="0" collapsed="false">
      <c r="A1" s="48" t="s">
        <v>105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customFormat="false" ht="19.5" hidden="false" customHeight="true" outlineLevel="0" collapsed="false">
      <c r="A2" s="49" t="s">
        <v>106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customFormat="false" ht="9.75" hidden="false" customHeight="true" outlineLevel="0" collapsed="false"/>
    <row r="4" customFormat="false" ht="19.5" hidden="false" customHeight="true" outlineLevel="0" collapsed="false">
      <c r="A4" s="50" t="s">
        <v>18</v>
      </c>
      <c r="B4" s="50" t="s">
        <v>19</v>
      </c>
      <c r="C4" s="50" t="s">
        <v>20</v>
      </c>
      <c r="D4" s="50" t="s">
        <v>107</v>
      </c>
      <c r="E4" s="50" t="s">
        <v>21</v>
      </c>
      <c r="F4" s="50" t="s">
        <v>3</v>
      </c>
      <c r="G4" s="50" t="s">
        <v>108</v>
      </c>
      <c r="H4" s="50" t="s">
        <v>5</v>
      </c>
      <c r="I4" s="50" t="s">
        <v>109</v>
      </c>
      <c r="J4" s="50" t="s">
        <v>110</v>
      </c>
      <c r="K4" s="50" t="s">
        <v>111</v>
      </c>
    </row>
    <row r="5" customFormat="false" ht="36" hidden="false" customHeight="true" outlineLevel="0" collapsed="false">
      <c r="A5" s="51" t="s">
        <v>26</v>
      </c>
      <c r="B5" s="26" t="s">
        <v>27</v>
      </c>
      <c r="C5" s="27" t="s">
        <v>28</v>
      </c>
      <c r="D5" s="27"/>
      <c r="E5" s="28" t="s">
        <v>29</v>
      </c>
      <c r="F5" s="27" t="e">
        <f aca="false">COUNTIF(backlog\!J6:J500,A5)</f>
        <v>#VALUE!</v>
      </c>
      <c r="G5" s="27" t="e">
        <f aca="false">COUNTIFS(backlog\!J6:J500,A5,backlog\!C6:C500,"Bug")</f>
        <v>#VALUE!</v>
      </c>
      <c r="H5" s="27" t="e">
        <f aca="false">COUNTIFS(backlog\!J6:J500,A5,backlog\!C6:C500,"Enhancement")</f>
        <v>#VALUE!</v>
      </c>
      <c r="I5" s="27" t="e">
        <f aca="false">SUMPRODUCT((backlog\!J6:J500=A5)*((backlog\!G6:G500="S")*1+(backlog\!G6:G500="M")*2+(backlog\!G6:G500="L")*4+(backlog\!G6:G500="XL")*8))</f>
        <v>#VALUE!</v>
      </c>
      <c r="J5" s="52" t="s">
        <v>112</v>
      </c>
      <c r="K5" s="52" t="s">
        <v>113</v>
      </c>
    </row>
    <row r="6" customFormat="false" ht="36" hidden="false" customHeight="true" outlineLevel="0" collapsed="false">
      <c r="A6" s="51" t="s">
        <v>31</v>
      </c>
      <c r="B6" s="26" t="s">
        <v>32</v>
      </c>
      <c r="C6" s="27" t="s">
        <v>33</v>
      </c>
      <c r="D6" s="27"/>
      <c r="E6" s="28" t="s">
        <v>29</v>
      </c>
      <c r="F6" s="27" t="e">
        <f aca="false">COUNTIF(backlog\!J6:J500,A6)</f>
        <v>#VALUE!</v>
      </c>
      <c r="G6" s="27" t="e">
        <f aca="false">COUNTIFS(backlog\!J6:J500,A6,backlog\!C6:C500,"Bug")</f>
        <v>#VALUE!</v>
      </c>
      <c r="H6" s="27" t="e">
        <f aca="false">COUNTIFS(backlog\!J6:J500,A6,backlog\!C6:C500,"Enhancement")</f>
        <v>#VALUE!</v>
      </c>
      <c r="I6" s="27" t="e">
        <f aca="false">SUMPRODUCT((backlog\!J6:J500=A6)*((backlog\!G6:G500="S")*1+(backlog\!G6:G500="M")*2+(backlog\!G6:G500="L")*4+(backlog\!G6:G500="XL")*8))</f>
        <v>#VALUE!</v>
      </c>
      <c r="J6" s="52" t="s">
        <v>114</v>
      </c>
      <c r="K6" s="52" t="s">
        <v>115</v>
      </c>
    </row>
    <row r="7" customFormat="false" ht="36" hidden="false" customHeight="true" outlineLevel="0" collapsed="false">
      <c r="A7" s="51" t="s">
        <v>35</v>
      </c>
      <c r="B7" s="26" t="s">
        <v>36</v>
      </c>
      <c r="C7" s="27" t="s">
        <v>37</v>
      </c>
      <c r="D7" s="27"/>
      <c r="E7" s="28" t="s">
        <v>29</v>
      </c>
      <c r="F7" s="27" t="e">
        <f aca="false">COUNTIF(backlog\!J6:J500,A7)</f>
        <v>#VALUE!</v>
      </c>
      <c r="G7" s="27" t="e">
        <f aca="false">COUNTIFS(backlog\!J6:J500,A7,backlog\!C6:C500,"Bug")</f>
        <v>#VALUE!</v>
      </c>
      <c r="H7" s="27" t="e">
        <f aca="false">COUNTIFS(backlog\!J6:J500,A7,backlog\!C6:C500,"Enhancement")</f>
        <v>#VALUE!</v>
      </c>
      <c r="I7" s="27" t="e">
        <f aca="false">SUMPRODUCT((backlog\!J6:J500=A7)*((backlog\!G6:G500="S")*1+(backlog\!G6:G500="M")*2+(backlog\!G6:G500="L")*4+(backlog\!G6:G500="XL")*8))</f>
        <v>#VALUE!</v>
      </c>
      <c r="J7" s="52" t="s">
        <v>116</v>
      </c>
      <c r="K7" s="52" t="s">
        <v>117</v>
      </c>
    </row>
    <row r="8" customFormat="false" ht="24" hidden="false" customHeight="true" outlineLevel="0" collapsed="false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</row>
    <row r="9" customFormat="false" ht="24" hidden="false" customHeight="true" outlineLevel="0" collapsed="false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</row>
    <row r="10" customFormat="false" ht="24" hidden="false" customHeight="true" outlineLevel="0" collapsed="false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</row>
    <row r="11" customFormat="false" ht="24" hidden="false" customHeight="true" outlineLevel="0" collapsed="false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</row>
    <row r="12" customFormat="false" ht="24" hidden="false" customHeight="true" outlineLevel="0" collapsed="false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</row>
    <row r="13" customFormat="false" ht="24" hidden="false" customHeight="true" outlineLevel="0" collapsed="false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</row>
    <row r="14" customFormat="false" ht="24" hidden="false" customHeight="true" outlineLevel="0" collapsed="false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</row>
    <row r="15" customFormat="false" ht="24" hidden="false" customHeight="true" outlineLevel="0" collapsed="false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</row>
    <row r="16" customFormat="false" ht="24" hidden="false" customHeight="true" outlineLevel="0" collapsed="false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</row>
    <row r="17" customFormat="false" ht="24" hidden="false" customHeight="true" outlineLevel="0" collapsed="false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</row>
  </sheetData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E5:E100" type="list">
      <formula1>"Planning,Active,Released,On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20"/>
    <col collapsed="false" customWidth="true" hidden="false" outlineLevel="0" max="6" min="6" style="0" width="18"/>
  </cols>
  <sheetData>
    <row r="1" customFormat="false" ht="36" hidden="false" customHeight="true" outlineLevel="0" collapsed="false">
      <c r="A1" s="53" t="s">
        <v>118</v>
      </c>
      <c r="B1" s="53"/>
      <c r="C1" s="53"/>
      <c r="D1" s="53"/>
      <c r="E1" s="53"/>
      <c r="F1" s="53"/>
      <c r="G1" s="53"/>
      <c r="H1" s="53"/>
      <c r="I1" s="53"/>
    </row>
    <row r="2" customFormat="false" ht="19.5" hidden="false" customHeight="true" outlineLevel="0" collapsed="false">
      <c r="A2" s="54" t="s">
        <v>119</v>
      </c>
      <c r="B2" s="54"/>
      <c r="C2" s="54"/>
      <c r="D2" s="54"/>
      <c r="E2" s="54"/>
      <c r="F2" s="54"/>
      <c r="G2" s="54"/>
      <c r="H2" s="54"/>
      <c r="I2" s="54"/>
    </row>
    <row r="3" customFormat="false" ht="9.75" hidden="false" customHeight="true" outlineLevel="0" collapsed="false"/>
    <row r="4" customFormat="false" ht="36" hidden="false" customHeight="true" outlineLevel="0" collapsed="false">
      <c r="A4" s="55" t="s">
        <v>120</v>
      </c>
      <c r="B4" s="55" t="s">
        <v>121</v>
      </c>
      <c r="C4" s="55" t="s">
        <v>122</v>
      </c>
      <c r="D4" s="55" t="s">
        <v>123</v>
      </c>
      <c r="E4" s="55" t="s">
        <v>124</v>
      </c>
      <c r="F4" s="55" t="s">
        <v>125</v>
      </c>
    </row>
    <row r="5" customFormat="false" ht="30" hidden="false" customHeight="true" outlineLevel="0" collapsed="false">
      <c r="A5" s="56" t="s">
        <v>126</v>
      </c>
      <c r="B5" s="57" t="s">
        <v>127</v>
      </c>
      <c r="C5" s="57" t="s">
        <v>128</v>
      </c>
      <c r="D5" s="57" t="s">
        <v>129</v>
      </c>
      <c r="E5" s="57" t="s">
        <v>130</v>
      </c>
      <c r="F5" s="57" t="s">
        <v>131</v>
      </c>
    </row>
    <row r="6" customFormat="false" ht="13.5" hidden="false" customHeight="true" outlineLevel="0" collapsed="false">
      <c r="A6" s="56"/>
      <c r="B6" s="56"/>
      <c r="C6" s="56"/>
      <c r="D6" s="56"/>
      <c r="E6" s="56"/>
      <c r="F6" s="56"/>
    </row>
    <row r="7" customFormat="false" ht="30" hidden="false" customHeight="true" outlineLevel="0" collapsed="false">
      <c r="A7" s="58" t="s">
        <v>132</v>
      </c>
      <c r="B7" s="59" t="s">
        <v>133</v>
      </c>
      <c r="C7" s="59" t="s">
        <v>134</v>
      </c>
      <c r="D7" s="59" t="s">
        <v>135</v>
      </c>
      <c r="E7" s="59" t="s">
        <v>136</v>
      </c>
      <c r="F7" s="59" t="s">
        <v>137</v>
      </c>
    </row>
    <row r="8" customFormat="false" ht="13.5" hidden="false" customHeight="true" outlineLevel="0" collapsed="false">
      <c r="A8" s="58"/>
      <c r="B8" s="58"/>
      <c r="C8" s="58"/>
      <c r="D8" s="58"/>
      <c r="E8" s="58"/>
      <c r="F8" s="58"/>
    </row>
    <row r="9" customFormat="false" ht="30" hidden="false" customHeight="true" outlineLevel="0" collapsed="false">
      <c r="A9" s="60" t="s">
        <v>138</v>
      </c>
      <c r="B9" s="61" t="s">
        <v>139</v>
      </c>
      <c r="C9" s="61" t="s">
        <v>140</v>
      </c>
      <c r="D9" s="61" t="s">
        <v>141</v>
      </c>
      <c r="E9" s="61" t="s">
        <v>142</v>
      </c>
      <c r="F9" s="61" t="s">
        <v>143</v>
      </c>
    </row>
    <row r="10" customFormat="false" ht="13.5" hidden="false" customHeight="true" outlineLevel="0" collapsed="false">
      <c r="A10" s="60"/>
      <c r="B10" s="60"/>
      <c r="C10" s="60"/>
      <c r="D10" s="60"/>
      <c r="E10" s="60"/>
      <c r="F10" s="60"/>
    </row>
    <row r="11" customFormat="false" ht="30" hidden="false" customHeight="true" outlineLevel="0" collapsed="false">
      <c r="A11" s="62" t="s">
        <v>144</v>
      </c>
      <c r="B11" s="63" t="s">
        <v>145</v>
      </c>
      <c r="C11" s="63" t="s">
        <v>146</v>
      </c>
      <c r="D11" s="63" t="s">
        <v>147</v>
      </c>
      <c r="E11" s="63" t="s">
        <v>148</v>
      </c>
      <c r="F11" s="63" t="s">
        <v>149</v>
      </c>
    </row>
    <row r="12" customFormat="false" ht="13.5" hidden="false" customHeight="true" outlineLevel="0" collapsed="false">
      <c r="A12" s="62"/>
      <c r="B12" s="62"/>
      <c r="C12" s="62"/>
      <c r="D12" s="62"/>
      <c r="E12" s="62"/>
      <c r="F12" s="62"/>
    </row>
    <row r="13" customFormat="false" ht="30" hidden="false" customHeight="true" outlineLevel="0" collapsed="false">
      <c r="A13" s="64" t="s">
        <v>150</v>
      </c>
      <c r="B13" s="65" t="s">
        <v>151</v>
      </c>
      <c r="C13" s="65" t="s">
        <v>152</v>
      </c>
      <c r="D13" s="65" t="s">
        <v>153</v>
      </c>
      <c r="E13" s="65" t="s">
        <v>154</v>
      </c>
      <c r="F13" s="65" t="s">
        <v>155</v>
      </c>
    </row>
    <row r="14" customFormat="false" ht="13.5" hidden="false" customHeight="true" outlineLevel="0" collapsed="false">
      <c r="A14" s="64"/>
      <c r="B14" s="64"/>
      <c r="C14" s="64"/>
      <c r="D14" s="64"/>
      <c r="E14" s="64"/>
      <c r="F14" s="64"/>
    </row>
  </sheetData>
  <mergeCells count="32">
    <mergeCell ref="A1:I1"/>
    <mergeCell ref="A2:I2"/>
    <mergeCell ref="A5:A6"/>
    <mergeCell ref="B5:B6"/>
    <mergeCell ref="C5:C6"/>
    <mergeCell ref="D5:D6"/>
    <mergeCell ref="E5:E6"/>
    <mergeCell ref="F5:F6"/>
    <mergeCell ref="A7:A8"/>
    <mergeCell ref="B7:B8"/>
    <mergeCell ref="C7:C8"/>
    <mergeCell ref="D7:D8"/>
    <mergeCell ref="E7:E8"/>
    <mergeCell ref="F7:F8"/>
    <mergeCell ref="A9:A10"/>
    <mergeCell ref="B9:B10"/>
    <mergeCell ref="C9:C10"/>
    <mergeCell ref="D9:D10"/>
    <mergeCell ref="E9:E10"/>
    <mergeCell ref="F9:F10"/>
    <mergeCell ref="A11:A12"/>
    <mergeCell ref="B11:B12"/>
    <mergeCell ref="C11:C12"/>
    <mergeCell ref="D11:D12"/>
    <mergeCell ref="E11:E12"/>
    <mergeCell ref="F11:F12"/>
    <mergeCell ref="A13:A14"/>
    <mergeCell ref="B13:B14"/>
    <mergeCell ref="C13:C14"/>
    <mergeCell ref="D13:D14"/>
    <mergeCell ref="E13:E14"/>
    <mergeCell ref="F13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E9"/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8"/>
  </cols>
  <sheetData>
    <row r="1" customFormat="false" ht="36" hidden="false" customHeight="true" outlineLevel="0" collapsed="false">
      <c r="A1" s="66" t="s">
        <v>156</v>
      </c>
      <c r="B1" s="66"/>
      <c r="C1" s="66"/>
      <c r="D1" s="66"/>
    </row>
    <row r="2" customFormat="false" ht="21.75" hidden="false" customHeight="true" outlineLevel="0" collapsed="false">
      <c r="A2" s="67" t="s">
        <v>157</v>
      </c>
      <c r="B2" s="67"/>
      <c r="C2" s="67"/>
      <c r="D2" s="67"/>
    </row>
    <row r="3" customFormat="false" ht="21.75" hidden="false" customHeight="true" outlineLevel="0" collapsed="false">
      <c r="A3" s="68" t="s">
        <v>158</v>
      </c>
      <c r="B3" s="68"/>
      <c r="C3" s="68"/>
      <c r="D3" s="68"/>
    </row>
    <row r="4" customFormat="false" ht="21.75" hidden="false" customHeight="true" outlineLevel="0" collapsed="false">
      <c r="A4" s="68"/>
      <c r="B4" s="68"/>
      <c r="C4" s="68"/>
      <c r="D4" s="68"/>
    </row>
    <row r="5" customFormat="false" ht="21.75" hidden="false" customHeight="true" outlineLevel="0" collapsed="false">
      <c r="A5" s="69" t="s">
        <v>159</v>
      </c>
      <c r="B5" s="69"/>
      <c r="C5" s="69"/>
      <c r="D5" s="69"/>
    </row>
    <row r="6" customFormat="false" ht="21.75" hidden="false" customHeight="true" outlineLevel="0" collapsed="false">
      <c r="A6" s="68" t="s">
        <v>160</v>
      </c>
      <c r="B6" s="68"/>
      <c r="C6" s="68"/>
      <c r="D6" s="68"/>
    </row>
    <row r="7" customFormat="false" ht="21.75" hidden="false" customHeight="true" outlineLevel="0" collapsed="false">
      <c r="A7" s="68"/>
      <c r="B7" s="68"/>
      <c r="C7" s="68"/>
      <c r="D7" s="68"/>
    </row>
    <row r="8" customFormat="false" ht="21.75" hidden="false" customHeight="true" outlineLevel="0" collapsed="false">
      <c r="A8" s="68"/>
      <c r="B8" s="68"/>
      <c r="C8" s="68"/>
      <c r="D8" s="68"/>
    </row>
    <row r="9" customFormat="false" ht="21.75" hidden="false" customHeight="true" outlineLevel="0" collapsed="false">
      <c r="A9" s="68"/>
      <c r="B9" s="68"/>
      <c r="C9" s="68"/>
      <c r="D9" s="68"/>
    </row>
    <row r="10" customFormat="false" ht="21.75" hidden="false" customHeight="true" outlineLevel="0" collapsed="false">
      <c r="A10" s="70" t="s">
        <v>161</v>
      </c>
      <c r="B10" s="70"/>
      <c r="C10" s="70"/>
      <c r="D10" s="70"/>
    </row>
    <row r="11" customFormat="false" ht="21.75" hidden="false" customHeight="true" outlineLevel="0" collapsed="false">
      <c r="A11" s="71" t="s">
        <v>162</v>
      </c>
      <c r="B11" s="71"/>
      <c r="C11" s="71"/>
      <c r="D11" s="71"/>
    </row>
    <row r="12" customFormat="false" ht="21.75" hidden="false" customHeight="true" outlineLevel="0" collapsed="false">
      <c r="A12" s="71"/>
      <c r="B12" s="71"/>
      <c r="C12" s="71"/>
      <c r="D12" s="71"/>
    </row>
    <row r="13" customFormat="false" ht="21.75" hidden="false" customHeight="true" outlineLevel="0" collapsed="false">
      <c r="A13" s="71"/>
      <c r="B13" s="71"/>
      <c r="C13" s="71"/>
      <c r="D13" s="71"/>
    </row>
    <row r="14" customFormat="false" ht="21.75" hidden="false" customHeight="true" outlineLevel="0" collapsed="false">
      <c r="A14" s="72" t="s">
        <v>163</v>
      </c>
      <c r="B14" s="72"/>
      <c r="C14" s="72"/>
      <c r="D14" s="72"/>
    </row>
    <row r="15" customFormat="false" ht="21.75" hidden="false" customHeight="true" outlineLevel="0" collapsed="false">
      <c r="A15" s="73" t="s">
        <v>164</v>
      </c>
      <c r="B15" s="73"/>
      <c r="C15" s="73"/>
      <c r="D15" s="73"/>
    </row>
    <row r="16" customFormat="false" ht="21.75" hidden="false" customHeight="true" outlineLevel="0" collapsed="false">
      <c r="A16" s="73"/>
      <c r="B16" s="73"/>
      <c r="C16" s="73"/>
      <c r="D16" s="73"/>
    </row>
    <row r="17" customFormat="false" ht="21.75" hidden="false" customHeight="true" outlineLevel="0" collapsed="false">
      <c r="A17" s="73"/>
      <c r="B17" s="73"/>
      <c r="C17" s="73"/>
      <c r="D17" s="73"/>
    </row>
    <row r="18" customFormat="false" ht="21.75" hidden="false" customHeight="true" outlineLevel="0" collapsed="false">
      <c r="A18" s="73"/>
      <c r="B18" s="73"/>
      <c r="C18" s="73"/>
      <c r="D18" s="73"/>
    </row>
    <row r="19" customFormat="false" ht="21.75" hidden="false" customHeight="true" outlineLevel="0" collapsed="false">
      <c r="A19" s="74" t="s">
        <v>165</v>
      </c>
      <c r="B19" s="74"/>
      <c r="C19" s="74"/>
      <c r="D19" s="74"/>
    </row>
    <row r="20" customFormat="false" ht="21.75" hidden="false" customHeight="true" outlineLevel="0" collapsed="false">
      <c r="A20" s="75" t="s">
        <v>166</v>
      </c>
      <c r="B20" s="75"/>
      <c r="C20" s="75"/>
      <c r="D20" s="75"/>
    </row>
    <row r="21" customFormat="false" ht="21.75" hidden="false" customHeight="true" outlineLevel="0" collapsed="false">
      <c r="A21" s="75"/>
      <c r="B21" s="75"/>
      <c r="C21" s="75"/>
      <c r="D21" s="75"/>
    </row>
    <row r="22" customFormat="false" ht="21.75" hidden="false" customHeight="true" outlineLevel="0" collapsed="false">
      <c r="A22" s="75"/>
      <c r="B22" s="75"/>
      <c r="C22" s="75"/>
      <c r="D22" s="75"/>
    </row>
    <row r="23" customFormat="false" ht="21.75" hidden="false" customHeight="true" outlineLevel="0" collapsed="false">
      <c r="A23" s="75"/>
      <c r="B23" s="75"/>
      <c r="C23" s="75"/>
      <c r="D23" s="75"/>
    </row>
    <row r="24" customFormat="false" ht="21.75" hidden="false" customHeight="true" outlineLevel="0" collapsed="false">
      <c r="A24" s="75"/>
      <c r="B24" s="75"/>
      <c r="C24" s="75"/>
      <c r="D24" s="75"/>
    </row>
    <row r="25" customFormat="false" ht="21.75" hidden="false" customHeight="true" outlineLevel="0" collapsed="false">
      <c r="A25" s="76" t="s">
        <v>167</v>
      </c>
      <c r="B25" s="76"/>
      <c r="C25" s="76"/>
      <c r="D25" s="76"/>
    </row>
    <row r="26" customFormat="false" ht="21.75" hidden="false" customHeight="true" outlineLevel="0" collapsed="false">
      <c r="A26" s="71" t="s">
        <v>168</v>
      </c>
      <c r="B26" s="71"/>
      <c r="C26" s="71"/>
      <c r="D26" s="71"/>
    </row>
    <row r="27" customFormat="false" ht="21.75" hidden="false" customHeight="true" outlineLevel="0" collapsed="false">
      <c r="A27" s="71"/>
      <c r="B27" s="71"/>
      <c r="C27" s="71"/>
      <c r="D27" s="71"/>
    </row>
    <row r="28" customFormat="false" ht="21.75" hidden="false" customHeight="true" outlineLevel="0" collapsed="false">
      <c r="A28" s="71"/>
      <c r="B28" s="71"/>
      <c r="C28" s="71"/>
      <c r="D28" s="71"/>
    </row>
    <row r="29" customFormat="false" ht="21.75" hidden="false" customHeight="true" outlineLevel="0" collapsed="false">
      <c r="A29" s="71"/>
      <c r="B29" s="71"/>
      <c r="C29" s="71"/>
      <c r="D29" s="71"/>
    </row>
    <row r="30" customFormat="false" ht="21.75" hidden="false" customHeight="true" outlineLevel="0" collapsed="false">
      <c r="A30" s="77" t="s">
        <v>169</v>
      </c>
      <c r="B30" s="77"/>
      <c r="C30" s="77"/>
      <c r="D30" s="77"/>
    </row>
    <row r="31" customFormat="false" ht="21.75" hidden="false" customHeight="true" outlineLevel="0" collapsed="false">
      <c r="A31" s="78" t="s">
        <v>170</v>
      </c>
      <c r="B31" s="78"/>
      <c r="C31" s="78"/>
      <c r="D31" s="78"/>
    </row>
    <row r="32" customFormat="false" ht="21.75" hidden="false" customHeight="true" outlineLevel="0" collapsed="false">
      <c r="A32" s="78"/>
      <c r="B32" s="78"/>
      <c r="C32" s="78"/>
      <c r="D32" s="78"/>
    </row>
    <row r="33" customFormat="false" ht="21.75" hidden="false" customHeight="true" outlineLevel="0" collapsed="false">
      <c r="A33" s="78"/>
      <c r="B33" s="78"/>
      <c r="C33" s="78"/>
      <c r="D33" s="78"/>
    </row>
    <row r="34" customFormat="false" ht="21.75" hidden="false" customHeight="true" outlineLevel="0" collapsed="false">
      <c r="A34" s="78"/>
      <c r="B34" s="78"/>
      <c r="C34" s="78"/>
      <c r="D34" s="78"/>
    </row>
    <row r="35" customFormat="false" ht="21.75" hidden="false" customHeight="true" outlineLevel="0" collapsed="false">
      <c r="A35" s="79" t="s">
        <v>171</v>
      </c>
      <c r="B35" s="79"/>
      <c r="C35" s="79"/>
      <c r="D35" s="79"/>
    </row>
  </sheetData>
  <mergeCells count="16">
    <mergeCell ref="A1:D1"/>
    <mergeCell ref="A2:D2"/>
    <mergeCell ref="A3:D4"/>
    <mergeCell ref="A5:D5"/>
    <mergeCell ref="A6:D9"/>
    <mergeCell ref="A10:D10"/>
    <mergeCell ref="A11:D13"/>
    <mergeCell ref="A14:D14"/>
    <mergeCell ref="A15:D18"/>
    <mergeCell ref="A19:D19"/>
    <mergeCell ref="A20:D24"/>
    <mergeCell ref="A25:D25"/>
    <mergeCell ref="A26:D29"/>
    <mergeCell ref="A30:D30"/>
    <mergeCell ref="A31:D3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0"/>
  </cols>
  <sheetData>
    <row r="1" customFormat="false" ht="36" hidden="false" customHeight="true" outlineLevel="0" collapsed="false">
      <c r="A1" s="80" t="s">
        <v>172</v>
      </c>
      <c r="B1" s="80"/>
      <c r="C1" s="80"/>
      <c r="D1" s="80"/>
      <c r="E1" s="80"/>
      <c r="F1" s="80"/>
      <c r="G1" s="80"/>
      <c r="H1" s="80"/>
    </row>
    <row r="3" customFormat="false" ht="18" hidden="false" customHeight="true" outlineLevel="0" collapsed="false">
      <c r="A3" s="81" t="s">
        <v>173</v>
      </c>
      <c r="B3" s="81"/>
      <c r="C3" s="81"/>
      <c r="D3" s="81"/>
      <c r="F3" s="81" t="s">
        <v>174</v>
      </c>
      <c r="G3" s="81"/>
      <c r="H3" s="81"/>
    </row>
    <row r="4" customFormat="false" ht="18" hidden="false" customHeight="true" outlineLevel="0" collapsed="false">
      <c r="A4" s="82" t="s">
        <v>10</v>
      </c>
      <c r="B4" s="82" t="s">
        <v>11</v>
      </c>
      <c r="C4" s="82" t="s">
        <v>8</v>
      </c>
      <c r="D4" s="82" t="s">
        <v>12</v>
      </c>
      <c r="E4" s="82" t="s">
        <v>175</v>
      </c>
      <c r="F4" s="82" t="s">
        <v>51</v>
      </c>
      <c r="G4" s="82" t="s">
        <v>12</v>
      </c>
      <c r="H4" s="82" t="s">
        <v>11</v>
      </c>
    </row>
    <row r="5" customFormat="false" ht="19.5" hidden="false" customHeight="true" outlineLevel="0" collapsed="false">
      <c r="A5" s="83" t="s">
        <v>6</v>
      </c>
      <c r="B5" s="21" t="e">
        <f aca="false">COUNTIFS(backlog\!E6:E500,"P0",backlog\!I6:I500,"&lt;&gt;Done")</f>
        <v>#VALUE!</v>
      </c>
      <c r="C5" s="21" t="e">
        <f aca="false">COUNTIFS(backlog\!E6:E500,"P0",backlog\!I6:I500,"Done")</f>
        <v>#VALUE!</v>
      </c>
      <c r="D5" s="21" t="e">
        <f aca="false">COUNTIF(backlog\!E6:E500,"P0")</f>
        <v>#VALUE!</v>
      </c>
      <c r="E5" s="84" t="e">
        <f aca="false">IF(D5=0,0,C5/D5)</f>
        <v>#VALUE!</v>
      </c>
      <c r="F5" s="38" t="s">
        <v>78</v>
      </c>
      <c r="G5" s="21" t="e">
        <f aca="false">COUNTIF(backlog\!F6:F500,"UI")</f>
        <v>#VALUE!</v>
      </c>
      <c r="H5" s="21" t="e">
        <f aca="false">COUNTIFS(backlog\!F6:F500,"UI",backlog\!I6:I500,"&lt;&gt;Done")</f>
        <v>#VALUE!</v>
      </c>
    </row>
    <row r="6" customFormat="false" ht="19.5" hidden="false" customHeight="true" outlineLevel="0" collapsed="false">
      <c r="A6" s="85" t="s">
        <v>176</v>
      </c>
      <c r="B6" s="21" t="e">
        <f aca="false">COUNTIFS(backlog\!E6:E500,"P1",backlog\!I6:I500,"&lt;&gt;Done")</f>
        <v>#VALUE!</v>
      </c>
      <c r="C6" s="21" t="e">
        <f aca="false">COUNTIFS(backlog\!E6:E500,"P1",backlog\!I6:I500,"Done")</f>
        <v>#VALUE!</v>
      </c>
      <c r="D6" s="21" t="e">
        <f aca="false">COUNTIF(backlog\!E6:E500,"P1")</f>
        <v>#VALUE!</v>
      </c>
      <c r="E6" s="84" t="e">
        <f aca="false">IF(D6=0,0,C6/D6)</f>
        <v>#VALUE!</v>
      </c>
      <c r="F6" s="26" t="s">
        <v>86</v>
      </c>
      <c r="G6" s="27" t="e">
        <f aca="false">COUNTIF(backlog\!F6:F500,"API")</f>
        <v>#VALUE!</v>
      </c>
      <c r="H6" s="27" t="e">
        <f aca="false">COUNTIFS(backlog\!F6:F500,"API",backlog\!I6:I500,"&lt;&gt;Done")</f>
        <v>#VALUE!</v>
      </c>
    </row>
    <row r="7" customFormat="false" ht="19.5" hidden="false" customHeight="true" outlineLevel="0" collapsed="false">
      <c r="A7" s="86" t="s">
        <v>177</v>
      </c>
      <c r="B7" s="21" t="e">
        <f aca="false">COUNTIFS(backlog\!E6:E500,"P2",backlog\!I6:I500,"&lt;&gt;Done")</f>
        <v>#VALUE!</v>
      </c>
      <c r="C7" s="21" t="e">
        <f aca="false">COUNTIFS(backlog\!E6:E500,"P2",backlog\!I6:I500,"Done")</f>
        <v>#VALUE!</v>
      </c>
      <c r="D7" s="21" t="e">
        <f aca="false">COUNTIF(backlog\!E6:E500,"P2")</f>
        <v>#VALUE!</v>
      </c>
      <c r="E7" s="84" t="e">
        <f aca="false">IF(D7=0,0,C7/D7)</f>
        <v>#VALUE!</v>
      </c>
      <c r="F7" s="38" t="s">
        <v>178</v>
      </c>
      <c r="G7" s="21" t="e">
        <f aca="false">COUNTIF(backlog\!F6:F500,"Database")</f>
        <v>#VALUE!</v>
      </c>
      <c r="H7" s="21" t="e">
        <f aca="false">COUNTIFS(backlog\!F6:F500,"Database",backlog\!I6:I500,"&lt;&gt;Done")</f>
        <v>#VALUE!</v>
      </c>
    </row>
    <row r="8" customFormat="false" ht="19.5" hidden="false" customHeight="true" outlineLevel="0" collapsed="false">
      <c r="A8" s="87" t="s">
        <v>179</v>
      </c>
      <c r="B8" s="21" t="e">
        <f aca="false">COUNTIFS(backlog\!E6:E500,"P3",backlog\!I6:I500,"&lt;&gt;Done")</f>
        <v>#VALUE!</v>
      </c>
      <c r="C8" s="21" t="e">
        <f aca="false">COUNTIFS(backlog\!E6:E500,"P3",backlog\!I6:I500,"Done")</f>
        <v>#VALUE!</v>
      </c>
      <c r="D8" s="21" t="e">
        <f aca="false">COUNTIF(backlog\!E6:E500,"P3")</f>
        <v>#VALUE!</v>
      </c>
      <c r="E8" s="84" t="e">
        <f aca="false">IF(D8=0,0,C8/D8)</f>
        <v>#VALUE!</v>
      </c>
      <c r="F8" s="26" t="s">
        <v>65</v>
      </c>
      <c r="G8" s="27" t="e">
        <f aca="false">COUNTIF(backlog\!F6:F500,"Auth")</f>
        <v>#VALUE!</v>
      </c>
      <c r="H8" s="27" t="e">
        <f aca="false">COUNTIFS(backlog\!F6:F500,"Auth",backlog\!I6:I500,"&lt;&gt;Done")</f>
        <v>#VALUE!</v>
      </c>
    </row>
    <row r="9" customFormat="false" ht="19.5" hidden="false" customHeight="true" outlineLevel="0" collapsed="false">
      <c r="A9" s="88" t="s">
        <v>180</v>
      </c>
      <c r="B9" s="89" t="e">
        <f aca="false">COUNTIF(backlog\!I6:I500,"&lt;&gt;Done")</f>
        <v>#VALUE!</v>
      </c>
      <c r="C9" s="89" t="e">
        <f aca="false">COUNTIF(backlog\!I6:I500,"Done")</f>
        <v>#VALUE!</v>
      </c>
      <c r="D9" s="89" t="e">
        <f aca="false">COUNTA(backlog\!E6:E500)</f>
        <v>#VALUE!</v>
      </c>
      <c r="E9" s="90" t="e">
        <f aca="false">IF(D9=0,0,C9/D9)</f>
        <v>#VALUE!</v>
      </c>
      <c r="F9" s="38" t="s">
        <v>181</v>
      </c>
      <c r="G9" s="21" t="e">
        <f aca="false">COUNTIF(backlog\!F6:F500,"Performance")</f>
        <v>#VALUE!</v>
      </c>
      <c r="H9" s="21" t="e">
        <f aca="false">COUNTIFS(backlog\!F6:F500,"Performance",backlog\!I6:I500,"&lt;&gt;Done")</f>
        <v>#VALUE!</v>
      </c>
    </row>
    <row r="10" customFormat="false" ht="19.5" hidden="false" customHeight="true" outlineLevel="0" collapsed="false">
      <c r="F10" s="26" t="s">
        <v>182</v>
      </c>
      <c r="G10" s="27" t="e">
        <f aca="false">COUNTIF(backlog\!F6:F500,"Notifications")</f>
        <v>#VALUE!</v>
      </c>
      <c r="H10" s="27" t="e">
        <f aca="false">COUNTIFS(backlog\!F6:F500,"Notifications",backlog\!I6:I500,"&lt;&gt;Done")</f>
        <v>#VALUE!</v>
      </c>
    </row>
    <row r="11" customFormat="false" ht="19.5" hidden="false" customHeight="true" outlineLevel="0" collapsed="false">
      <c r="F11" s="38" t="s">
        <v>183</v>
      </c>
      <c r="G11" s="21" t="e">
        <f aca="false">COUNTIF(backlog\!F6:F500,"Integrations")</f>
        <v>#VALUE!</v>
      </c>
      <c r="H11" s="21" t="e">
        <f aca="false">COUNTIFS(backlog\!F6:F500,"Integrations",backlog\!I6:I500,"&lt;&gt;Done")</f>
        <v>#VALUE!</v>
      </c>
    </row>
    <row r="12" customFormat="false" ht="19.5" hidden="false" customHeight="true" outlineLevel="0" collapsed="false">
      <c r="F12" s="26" t="s">
        <v>184</v>
      </c>
      <c r="G12" s="27" t="e">
        <f aca="false">COUNTIF(backlog\!F6:F500,"Other")</f>
        <v>#VALUE!</v>
      </c>
      <c r="H12" s="27" t="e">
        <f aca="false">COUNTIFS(backlog\!F6:F500,"Other",backlog\!I6:I500,"&lt;&gt;Done")</f>
        <v>#VALUE!</v>
      </c>
    </row>
  </sheetData>
  <mergeCells count="3">
    <mergeCell ref="A1:H1"/>
    <mergeCell ref="A3:D3"/>
    <mergeCell ref="F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2026-04-10T14:00:45Z</dcterms:created>
  <dc:creator>openpyxl</dc:creator>
  <dc:description/>
  <dc:language>en-US</dc:language>
  <cp:lastModifiedBy/>
  <dcterms:modified xsi:type="dcterms:W3CDTF">2026-04-10T14:00:45Z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